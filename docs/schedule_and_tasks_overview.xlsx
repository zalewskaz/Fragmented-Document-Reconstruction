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579d242c136abb/Desktop/repo/Fragmented-Document-Reconstruction/docs/"/>
    </mc:Choice>
  </mc:AlternateContent>
  <xr:revisionPtr revIDLastSave="0" documentId="8_{3037577B-5CB1-49F5-A67A-54832FF57168}" xr6:coauthVersionLast="47" xr6:coauthVersionMax="47" xr10:uidLastSave="{00000000-0000-0000-0000-000000000000}"/>
  <bookViews>
    <workbookView xWindow="-108" yWindow="-108" windowWidth="23256" windowHeight="12456" xr2:uid="{24401AF9-8921-42C9-86FB-2520DBCEBF64}"/>
  </bookViews>
  <sheets>
    <sheet name="schedu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1" i="3" l="1"/>
  <c r="H32" i="3"/>
  <c r="H33" i="3"/>
  <c r="H34" i="3"/>
  <c r="H30" i="3"/>
  <c r="H23" i="3"/>
  <c r="H24" i="3"/>
  <c r="H22" i="3"/>
  <c r="H37" i="3"/>
  <c r="H16" i="3"/>
  <c r="H10" i="3"/>
  <c r="H11" i="3"/>
  <c r="H12" i="3"/>
  <c r="K29" i="3"/>
  <c r="H29" i="3" s="1"/>
  <c r="J29" i="3"/>
  <c r="J2" i="3"/>
  <c r="K2" i="3"/>
  <c r="H3" i="3"/>
  <c r="H4" i="3"/>
  <c r="H5" i="3"/>
  <c r="H6" i="3"/>
  <c r="H7" i="3"/>
  <c r="H8" i="3"/>
  <c r="H9" i="3"/>
  <c r="J13" i="3"/>
  <c r="K13" i="3"/>
  <c r="H14" i="3"/>
  <c r="H15" i="3"/>
  <c r="H17" i="3"/>
  <c r="H18" i="3"/>
  <c r="H19" i="3"/>
  <c r="H20" i="3"/>
  <c r="J21" i="3"/>
  <c r="K21" i="3"/>
  <c r="H21" i="3" s="1"/>
  <c r="J25" i="3"/>
  <c r="H25" i="3" s="1"/>
  <c r="K25" i="3"/>
  <c r="H26" i="3"/>
  <c r="H27" i="3"/>
  <c r="H28" i="3"/>
  <c r="J35" i="3"/>
  <c r="K35" i="3"/>
  <c r="H35" i="3" s="1"/>
  <c r="H36" i="3"/>
  <c r="J38" i="3"/>
  <c r="K38" i="3"/>
  <c r="H39" i="3"/>
  <c r="H40" i="3"/>
  <c r="H41" i="3"/>
  <c r="H38" i="3" l="1"/>
  <c r="H13" i="3"/>
  <c r="H2" i="3"/>
</calcChain>
</file>

<file path=xl/sharedStrings.xml><?xml version="1.0" encoding="utf-8"?>
<sst xmlns="http://schemas.openxmlformats.org/spreadsheetml/2006/main" count="223" uniqueCount="103">
  <si>
    <t>ID</t>
  </si>
  <si>
    <t>Duration (Days)</t>
  </si>
  <si>
    <t>Task</t>
  </si>
  <si>
    <t>Progress</t>
  </si>
  <si>
    <t>WBS</t>
  </si>
  <si>
    <t>Start Date</t>
  </si>
  <si>
    <t>End Date</t>
  </si>
  <si>
    <t>1</t>
  </si>
  <si>
    <t>1.1</t>
  </si>
  <si>
    <t>Define business objective</t>
  </si>
  <si>
    <t>Define system vision</t>
  </si>
  <si>
    <t>Define functional requirements</t>
  </si>
  <si>
    <t>Define non-functional requirements</t>
  </si>
  <si>
    <t>Project Planning &amp; Architecture</t>
  </si>
  <si>
    <t>Perform risk analysis</t>
  </si>
  <si>
    <t>1.2</t>
  </si>
  <si>
    <t>1.3</t>
  </si>
  <si>
    <t>1.4</t>
  </si>
  <si>
    <t>1.5</t>
  </si>
  <si>
    <t>1.6</t>
  </si>
  <si>
    <t>2.2</t>
  </si>
  <si>
    <t>1.7</t>
  </si>
  <si>
    <t>1.8</t>
  </si>
  <si>
    <t>2</t>
  </si>
  <si>
    <t>Module 1: Document Fragmentation</t>
  </si>
  <si>
    <t>2.1</t>
  </si>
  <si>
    <t>Implement input handling</t>
  </si>
  <si>
    <t>Implement fragmentation algorithms</t>
  </si>
  <si>
    <t>Implement fragment placement on background</t>
  </si>
  <si>
    <t>Implement image export</t>
  </si>
  <si>
    <t>2.3</t>
  </si>
  <si>
    <t>2.4</t>
  </si>
  <si>
    <t>2.5</t>
  </si>
  <si>
    <t>2.6</t>
  </si>
  <si>
    <t>2.7</t>
  </si>
  <si>
    <t>Martyna</t>
  </si>
  <si>
    <t>Zuzanna</t>
  </si>
  <si>
    <t>Hania</t>
  </si>
  <si>
    <t>Zuzanna, Martyna, Hania</t>
  </si>
  <si>
    <t>Write unit tests for module 1</t>
  </si>
  <si>
    <t>3</t>
  </si>
  <si>
    <t>3.1</t>
  </si>
  <si>
    <t>3.2</t>
  </si>
  <si>
    <t>Module 2A: Fragment Extraction</t>
  </si>
  <si>
    <t>Write unit tests for module 2A</t>
  </si>
  <si>
    <t>4</t>
  </si>
  <si>
    <t>Module 2B: Document Reconstruction</t>
  </si>
  <si>
    <t>4.1</t>
  </si>
  <si>
    <t>4.2</t>
  </si>
  <si>
    <t>4.3</t>
  </si>
  <si>
    <t>Write unite tests for module 2B</t>
  </si>
  <si>
    <t>5</t>
  </si>
  <si>
    <t>Benchmarking</t>
  </si>
  <si>
    <t>5.1</t>
  </si>
  <si>
    <t>5.2</t>
  </si>
  <si>
    <t>Construct heuristics for algorithm selection</t>
  </si>
  <si>
    <t>6</t>
  </si>
  <si>
    <t>6.1</t>
  </si>
  <si>
    <t>Integrate modules into an unified pipeline</t>
  </si>
  <si>
    <t>Building UI</t>
  </si>
  <si>
    <t>6.2</t>
  </si>
  <si>
    <t>7</t>
  </si>
  <si>
    <t>Documentation &amp; Thesis writing</t>
  </si>
  <si>
    <t>7.1</t>
  </si>
  <si>
    <t>7.2</t>
  </si>
  <si>
    <t>7.3</t>
  </si>
  <si>
    <t>Final buffer time, thesis polishing and defense presentation</t>
  </si>
  <si>
    <t xml:space="preserve">Integration, UI, </t>
  </si>
  <si>
    <t>Responsible</t>
  </si>
  <si>
    <t>Accountable</t>
  </si>
  <si>
    <t>Consulted</t>
  </si>
  <si>
    <t>Informed</t>
  </si>
  <si>
    <t>1.9</t>
  </si>
  <si>
    <t>Decide on main dependencies (e.g. external libraries)</t>
  </si>
  <si>
    <t>Define system architecture and main classes</t>
  </si>
  <si>
    <t>Decide on the formats in which data will be stored and handled</t>
  </si>
  <si>
    <t>Implement the random rotation of each fragment</t>
  </si>
  <si>
    <t>Implement  shape-based reconstruction algorithms</t>
  </si>
  <si>
    <t>Implement content-based reconstruction algorithms</t>
  </si>
  <si>
    <t>Implement the algorithm for finding fragment borders</t>
  </si>
  <si>
    <t>Implement extracting the fragments into separate objects</t>
  </si>
  <si>
    <t>3.3</t>
  </si>
  <si>
    <t>5.3</t>
  </si>
  <si>
    <t>Implement the extraction of text from a reconstructed document</t>
  </si>
  <si>
    <t>Prepare benchmarking scenarios for various input types</t>
  </si>
  <si>
    <t>Perform automated benchmarking of reconstruction algorithms using automated text extraction</t>
  </si>
  <si>
    <t>Perform manual benchmarking of reconstruction algorithms based on final document readability</t>
  </si>
  <si>
    <t>5.4</t>
  </si>
  <si>
    <t>5.5</t>
  </si>
  <si>
    <t>Compile existing documentation and benchmarking results into initial thesis draft</t>
  </si>
  <si>
    <t>Write core chapters for thesis</t>
  </si>
  <si>
    <t>Zuzanna, Hania</t>
  </si>
  <si>
    <t>Prepare project schedule and divide tasks between team members</t>
  </si>
  <si>
    <t>---</t>
  </si>
  <si>
    <t>Hania, Martyna</t>
  </si>
  <si>
    <t>Hania, Zuzanna</t>
  </si>
  <si>
    <t>Martyna, Hania, Zuzanna</t>
  </si>
  <si>
    <t>Martyna, Hania</t>
  </si>
  <si>
    <t>Martyna, Zuzanna</t>
  </si>
  <si>
    <t>1.10</t>
  </si>
  <si>
    <t>Prepare a shortlist of algorithms to be implemented for each module</t>
  </si>
  <si>
    <t>Janusz Rafałko Ph.D.</t>
  </si>
  <si>
    <t>Validate results through subjective 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</si>
</sst>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;@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9" fontId="0" fillId="0" borderId="0" xfId="0" applyNumberFormat="1"/>
    <xf numFmtId="0" fontId="0" fillId="2" borderId="0" xfId="0" applyFill="1"/>
    <xf numFmtId="49" fontId="0" fillId="2" borderId="0" xfId="0" applyNumberFormat="1" applyFill="1"/>
    <xf numFmtId="9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0" fontId="1" fillId="2" borderId="0" xfId="0" applyFont="1" applyFill="1"/>
    <xf numFmtId="0" fontId="0" fillId="0" borderId="0" xfId="0" quotePrefix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Gantt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7.9364200303017482E-2"/>
          <c:y val="7.1960207649344493E-2"/>
          <c:w val="0.91386680666547593"/>
          <c:h val="0.91119712783092699"/>
        </c:manualLayout>
      </c:layout>
      <c:barChart>
        <c:barDir val="bar"/>
        <c:grouping val="stacked"/>
        <c:varyColors val="0"/>
        <c:ser>
          <c:idx val="1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(schedule!$C$3:$C$12,schedule!$C$14:$C$20,schedule!$C$22:$C$24,schedule!$C$26:$C$28,schedule!$C$30:$C$34,schedule!$C$36:$C$37,schedule!$C$39:$C$41)</c:f>
              <c:strCache>
                <c:ptCount val="33"/>
                <c:pt idx="0">
                  <c:v>Define business objective</c:v>
                </c:pt>
                <c:pt idx="1">
                  <c:v>Define system vision</c:v>
                </c:pt>
                <c:pt idx="2">
                  <c:v>Define functional requirements</c:v>
                </c:pt>
                <c:pt idx="3">
                  <c:v>Define non-functional requirements</c:v>
                </c:pt>
                <c:pt idx="4">
                  <c:v>Perform risk analysis</c:v>
                </c:pt>
                <c:pt idx="5">
                  <c:v>Prepare project schedule and divide tasks between team members</c:v>
                </c:pt>
                <c:pt idx="6">
                  <c:v>Decide on the formats in which data will be stored and handled</c:v>
                </c:pt>
                <c:pt idx="7">
                  <c:v>Define system architecture and main classes</c:v>
                </c:pt>
                <c:pt idx="8">
                  <c:v>Decide on main dependencies (e.g. external libraries)</c:v>
                </c:pt>
                <c:pt idx="9">
                  <c:v>Prepare a shortlist of algorithms to be implemented for each module</c:v>
                </c:pt>
                <c:pt idx="10">
                  <c:v>Implement input handling</c:v>
                </c:pt>
                <c:pt idx="11">
                  <c:v>Implement fragmentation algorithms</c:v>
                </c:pt>
                <c:pt idx="12">
                  <c:v>Implement the random rotation of each fragment</c:v>
                </c:pt>
                <c:pt idx="13">
                  <c:v>Implement fragment placement on background</c:v>
                </c:pt>
                <c:pt idx="14">
                  <c:v>Implement image export</c:v>
                </c:pt>
                <c:pt idx="15">
                  <c:v>Write unit tests for module 1</c:v>
                </c:pt>
                <c:pt idx="16">
                  <c:v>Validate results through subjective observation</c:v>
                </c:pt>
                <c:pt idx="17">
                  <c:v>Implement the algorithm for finding fragment borders</c:v>
                </c:pt>
                <c:pt idx="18">
                  <c:v>Implement extracting the fragments into separate objects</c:v>
                </c:pt>
                <c:pt idx="19">
                  <c:v>Write unit tests for module 2A</c:v>
                </c:pt>
                <c:pt idx="20">
                  <c:v>Implement  shape-based reconstruction algorithms</c:v>
                </c:pt>
                <c:pt idx="21">
                  <c:v>Implement content-based reconstruction algorithms</c:v>
                </c:pt>
                <c:pt idx="22">
                  <c:v>Write unite tests for module 2B</c:v>
                </c:pt>
                <c:pt idx="23">
                  <c:v>Implement the extraction of text from a reconstructed document</c:v>
                </c:pt>
                <c:pt idx="24">
                  <c:v>Prepare benchmarking scenarios for various input types</c:v>
                </c:pt>
                <c:pt idx="25">
                  <c:v>Perform automated benchmarking of reconstruction algorithms using automated text extraction</c:v>
                </c:pt>
                <c:pt idx="26">
                  <c:v>Perform manual benchmarking of reconstruction algorithms based on final document readability</c:v>
                </c:pt>
                <c:pt idx="27">
                  <c:v>Construct heuristics for algorithm selection</c:v>
                </c:pt>
                <c:pt idx="28">
                  <c:v>Integrate modules into an unified pipeline</c:v>
                </c:pt>
                <c:pt idx="29">
                  <c:v>Building UI</c:v>
                </c:pt>
                <c:pt idx="30">
                  <c:v>Compile existing documentation and benchmarking results into initial thesis draft</c:v>
                </c:pt>
                <c:pt idx="31">
                  <c:v>Write core chapters for thesis</c:v>
                </c:pt>
                <c:pt idx="32">
                  <c:v>Final buffer time, thesis polishing and defense presentation</c:v>
                </c:pt>
              </c:strCache>
            </c:strRef>
          </c:cat>
          <c:val>
            <c:numRef>
              <c:f>(schedule!$J$3:$J$12,schedule!$J$14:$J$20,schedule!$J$22:$J$24,schedule!$J$26:$J$28,schedule!$J$30:$J$34,schedule!$J$36:$J$37,schedule!$J$39:$J$41)</c:f>
              <c:numCache>
                <c:formatCode>d\-mm;@</c:formatCode>
                <c:ptCount val="33"/>
                <c:pt idx="0">
                  <c:v>46306</c:v>
                </c:pt>
                <c:pt idx="1">
                  <c:v>46306</c:v>
                </c:pt>
                <c:pt idx="2">
                  <c:v>46308</c:v>
                </c:pt>
                <c:pt idx="3">
                  <c:v>46309</c:v>
                </c:pt>
                <c:pt idx="4">
                  <c:v>46309</c:v>
                </c:pt>
                <c:pt idx="5">
                  <c:v>46311</c:v>
                </c:pt>
                <c:pt idx="6">
                  <c:v>46311</c:v>
                </c:pt>
                <c:pt idx="7">
                  <c:v>46314</c:v>
                </c:pt>
                <c:pt idx="8">
                  <c:v>46308</c:v>
                </c:pt>
                <c:pt idx="9">
                  <c:v>46308</c:v>
                </c:pt>
                <c:pt idx="10">
                  <c:v>46314</c:v>
                </c:pt>
                <c:pt idx="11">
                  <c:v>46314</c:v>
                </c:pt>
                <c:pt idx="12">
                  <c:v>46316</c:v>
                </c:pt>
                <c:pt idx="13">
                  <c:v>46316</c:v>
                </c:pt>
                <c:pt idx="14">
                  <c:v>46318</c:v>
                </c:pt>
                <c:pt idx="15">
                  <c:v>46321</c:v>
                </c:pt>
                <c:pt idx="16">
                  <c:v>46318</c:v>
                </c:pt>
                <c:pt idx="17">
                  <c:v>46327</c:v>
                </c:pt>
                <c:pt idx="18">
                  <c:v>46330</c:v>
                </c:pt>
                <c:pt idx="19">
                  <c:v>46332</c:v>
                </c:pt>
                <c:pt idx="20">
                  <c:v>46334</c:v>
                </c:pt>
                <c:pt idx="21">
                  <c:v>46334</c:v>
                </c:pt>
                <c:pt idx="22">
                  <c:v>46347</c:v>
                </c:pt>
                <c:pt idx="23">
                  <c:v>46351</c:v>
                </c:pt>
                <c:pt idx="24">
                  <c:v>46351</c:v>
                </c:pt>
                <c:pt idx="25">
                  <c:v>46353</c:v>
                </c:pt>
                <c:pt idx="26">
                  <c:v>46352</c:v>
                </c:pt>
                <c:pt idx="27">
                  <c:v>46355</c:v>
                </c:pt>
                <c:pt idx="28">
                  <c:v>46357</c:v>
                </c:pt>
                <c:pt idx="29">
                  <c:v>46327</c:v>
                </c:pt>
                <c:pt idx="30">
                  <c:v>46357</c:v>
                </c:pt>
                <c:pt idx="31">
                  <c:v>46357</c:v>
                </c:pt>
                <c:pt idx="32">
                  <c:v>46394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8-4D91-B96E-2BAAC3B03493}"/>
            </c:ext>
          </c:extLst>
        </c:ser>
        <c:ser>
          <c:idx val="0"/>
          <c:order val="1"/>
          <c:tx>
            <c:v>Duration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(schedule!$C$3:$C$12,schedule!$C$14:$C$20,schedule!$C$22:$C$24,schedule!$C$26:$C$28,schedule!$C$30:$C$34,schedule!$C$36:$C$37,schedule!$C$39:$C$41)</c:f>
              <c:strCache>
                <c:ptCount val="33"/>
                <c:pt idx="0">
                  <c:v>Define business objective</c:v>
                </c:pt>
                <c:pt idx="1">
                  <c:v>Define system vision</c:v>
                </c:pt>
                <c:pt idx="2">
                  <c:v>Define functional requirements</c:v>
                </c:pt>
                <c:pt idx="3">
                  <c:v>Define non-functional requirements</c:v>
                </c:pt>
                <c:pt idx="4">
                  <c:v>Perform risk analysis</c:v>
                </c:pt>
                <c:pt idx="5">
                  <c:v>Prepare project schedule and divide tasks between team members</c:v>
                </c:pt>
                <c:pt idx="6">
                  <c:v>Decide on the formats in which data will be stored and handled</c:v>
                </c:pt>
                <c:pt idx="7">
                  <c:v>Define system architecture and main classes</c:v>
                </c:pt>
                <c:pt idx="8">
                  <c:v>Decide on main dependencies (e.g. external libraries)</c:v>
                </c:pt>
                <c:pt idx="9">
                  <c:v>Prepare a shortlist of algorithms to be implemented for each module</c:v>
                </c:pt>
                <c:pt idx="10">
                  <c:v>Implement input handling</c:v>
                </c:pt>
                <c:pt idx="11">
                  <c:v>Implement fragmentation algorithms</c:v>
                </c:pt>
                <c:pt idx="12">
                  <c:v>Implement the random rotation of each fragment</c:v>
                </c:pt>
                <c:pt idx="13">
                  <c:v>Implement fragment placement on background</c:v>
                </c:pt>
                <c:pt idx="14">
                  <c:v>Implement image export</c:v>
                </c:pt>
                <c:pt idx="15">
                  <c:v>Write unit tests for module 1</c:v>
                </c:pt>
                <c:pt idx="16">
                  <c:v>Validate results through subjective observation</c:v>
                </c:pt>
                <c:pt idx="17">
                  <c:v>Implement the algorithm for finding fragment borders</c:v>
                </c:pt>
                <c:pt idx="18">
                  <c:v>Implement extracting the fragments into separate objects</c:v>
                </c:pt>
                <c:pt idx="19">
                  <c:v>Write unit tests for module 2A</c:v>
                </c:pt>
                <c:pt idx="20">
                  <c:v>Implement  shape-based reconstruction algorithms</c:v>
                </c:pt>
                <c:pt idx="21">
                  <c:v>Implement content-based reconstruction algorithms</c:v>
                </c:pt>
                <c:pt idx="22">
                  <c:v>Write unite tests for module 2B</c:v>
                </c:pt>
                <c:pt idx="23">
                  <c:v>Implement the extraction of text from a reconstructed document</c:v>
                </c:pt>
                <c:pt idx="24">
                  <c:v>Prepare benchmarking scenarios for various input types</c:v>
                </c:pt>
                <c:pt idx="25">
                  <c:v>Perform automated benchmarking of reconstruction algorithms using automated text extraction</c:v>
                </c:pt>
                <c:pt idx="26">
                  <c:v>Perform manual benchmarking of reconstruction algorithms based on final document readability</c:v>
                </c:pt>
                <c:pt idx="27">
                  <c:v>Construct heuristics for algorithm selection</c:v>
                </c:pt>
                <c:pt idx="28">
                  <c:v>Integrate modules into an unified pipeline</c:v>
                </c:pt>
                <c:pt idx="29">
                  <c:v>Building UI</c:v>
                </c:pt>
                <c:pt idx="30">
                  <c:v>Compile existing documentation and benchmarking results into initial thesis draft</c:v>
                </c:pt>
                <c:pt idx="31">
                  <c:v>Write core chapters for thesis</c:v>
                </c:pt>
                <c:pt idx="32">
                  <c:v>Final buffer time, thesis polishing and defense presentation</c:v>
                </c:pt>
              </c:strCache>
            </c:strRef>
          </c:cat>
          <c:val>
            <c:numRef>
              <c:f>(schedule!$H$3:$H$12,schedule!$H$14:$H$20,schedule!$H$22:$H$24,schedule!$H$26:$H$28,schedule!$H$30:$H$34,schedule!$H$36:$H$37,schedule!$H$39:$H$41)</c:f>
              <c:numCache>
                <c:formatCode>General</c:formatCode>
                <c:ptCount val="33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8</c:v>
                </c:pt>
                <c:pt idx="9">
                  <c:v>11</c:v>
                </c:pt>
                <c:pt idx="10">
                  <c:v>2</c:v>
                </c:pt>
                <c:pt idx="11">
                  <c:v>10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9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13</c:v>
                </c:pt>
                <c:pt idx="21">
                  <c:v>13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4</c:v>
                </c:pt>
                <c:pt idx="29">
                  <c:v>30</c:v>
                </c:pt>
                <c:pt idx="30">
                  <c:v>20</c:v>
                </c:pt>
                <c:pt idx="31">
                  <c:v>38</c:v>
                </c:pt>
                <c:pt idx="3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8-4D91-B96E-2BAAC3B03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66772752"/>
        <c:axId val="735725008"/>
      </c:barChart>
      <c:catAx>
        <c:axId val="11667727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5725008"/>
        <c:crosses val="autoZero"/>
        <c:auto val="1"/>
        <c:lblAlgn val="ctr"/>
        <c:lblOffset val="100"/>
        <c:noMultiLvlLbl val="0"/>
      </c:catAx>
      <c:valAx>
        <c:axId val="735725008"/>
        <c:scaling>
          <c:orientation val="minMax"/>
          <c:min val="4630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inorGridlines>
        <c:numFmt formatCode="d\-mm;@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16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66772752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41173</xdr:colOff>
      <xdr:row>0</xdr:row>
      <xdr:rowOff>24679</xdr:rowOff>
    </xdr:from>
    <xdr:to>
      <xdr:col>75</xdr:col>
      <xdr:colOff>518150</xdr:colOff>
      <xdr:row>60</xdr:row>
      <xdr:rowOff>4510</xdr:rowOff>
    </xdr:to>
    <xdr:graphicFrame macro="">
      <xdr:nvGraphicFramePr>
        <xdr:cNvPr id="14" name="Wykres 2">
          <a:extLst>
            <a:ext uri="{FF2B5EF4-FFF2-40B4-BE49-F238E27FC236}">
              <a16:creationId xmlns:a16="http://schemas.microsoft.com/office/drawing/2014/main" id="{BF5E6642-9DA6-4A67-AD63-57E080062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38CF-C7C8-4DBF-B94F-6FBC20435562}">
  <dimension ref="A1:K41"/>
  <sheetViews>
    <sheetView tabSelected="1" topLeftCell="Q1" zoomScale="79" zoomScaleNormal="84" workbookViewId="0">
      <selection activeCell="A41" sqref="A41"/>
    </sheetView>
  </sheetViews>
  <sheetFormatPr defaultRowHeight="14.4" x14ac:dyDescent="0.3"/>
  <cols>
    <col min="2" max="2" width="8.88671875" style="1" customWidth="1"/>
    <col min="3" max="3" width="79.5546875" bestFit="1" customWidth="1"/>
    <col min="4" max="4" width="21.88671875" bestFit="1" customWidth="1"/>
    <col min="5" max="5" width="11.21875" bestFit="1" customWidth="1"/>
    <col min="6" max="7" width="18.33203125" bestFit="1" customWidth="1"/>
    <col min="8" max="8" width="13.33203125" bestFit="1" customWidth="1"/>
    <col min="9" max="9" width="9.109375" bestFit="1" customWidth="1"/>
    <col min="10" max="10" width="9.21875" style="6" bestFit="1" customWidth="1"/>
    <col min="11" max="11" width="8.6640625" style="6" bestFit="1" customWidth="1"/>
  </cols>
  <sheetData>
    <row r="1" spans="1:11" s="10" customFormat="1" x14ac:dyDescent="0.3">
      <c r="A1" s="10" t="s">
        <v>0</v>
      </c>
      <c r="B1" s="11" t="s">
        <v>4</v>
      </c>
      <c r="C1" s="10" t="s">
        <v>2</v>
      </c>
      <c r="D1" s="10" t="s">
        <v>68</v>
      </c>
      <c r="E1" s="10" t="s">
        <v>69</v>
      </c>
      <c r="F1" s="10" t="s">
        <v>70</v>
      </c>
      <c r="G1" s="10" t="s">
        <v>71</v>
      </c>
      <c r="H1" s="10" t="s">
        <v>1</v>
      </c>
      <c r="I1" s="10" t="s">
        <v>3</v>
      </c>
      <c r="J1" s="12" t="s">
        <v>5</v>
      </c>
      <c r="K1" s="12" t="s">
        <v>6</v>
      </c>
    </row>
    <row r="2" spans="1:11" x14ac:dyDescent="0.3">
      <c r="A2" s="3"/>
      <c r="B2" s="4" t="s">
        <v>7</v>
      </c>
      <c r="C2" s="8" t="s">
        <v>13</v>
      </c>
      <c r="D2" s="3"/>
      <c r="E2" s="3"/>
      <c r="F2" s="3"/>
      <c r="G2" s="3"/>
      <c r="H2" s="3">
        <f t="shared" ref="H2:H41" si="0">K2-J2+1</f>
        <v>13</v>
      </c>
      <c r="I2" s="3"/>
      <c r="J2" s="7">
        <f>MIN(J3:J11)</f>
        <v>46306</v>
      </c>
      <c r="K2" s="7">
        <f>MAX(K3:K11)</f>
        <v>46318</v>
      </c>
    </row>
    <row r="3" spans="1:11" x14ac:dyDescent="0.3">
      <c r="A3">
        <v>1</v>
      </c>
      <c r="B3" s="1" t="s">
        <v>8</v>
      </c>
      <c r="C3" t="s">
        <v>9</v>
      </c>
      <c r="D3" t="s">
        <v>38</v>
      </c>
      <c r="E3" t="s">
        <v>37</v>
      </c>
      <c r="F3" t="s">
        <v>101</v>
      </c>
      <c r="G3" s="9" t="s">
        <v>93</v>
      </c>
      <c r="H3">
        <f t="shared" si="0"/>
        <v>3</v>
      </c>
      <c r="I3" s="2">
        <v>1</v>
      </c>
      <c r="J3" s="6">
        <v>46306</v>
      </c>
      <c r="K3" s="6">
        <v>46308</v>
      </c>
    </row>
    <row r="4" spans="1:11" x14ac:dyDescent="0.3">
      <c r="A4">
        <v>2</v>
      </c>
      <c r="B4" s="1" t="s">
        <v>15</v>
      </c>
      <c r="C4" t="s">
        <v>10</v>
      </c>
      <c r="D4" t="s">
        <v>38</v>
      </c>
      <c r="E4" t="s">
        <v>37</v>
      </c>
      <c r="F4" s="9" t="s">
        <v>93</v>
      </c>
      <c r="G4" s="9" t="s">
        <v>101</v>
      </c>
      <c r="H4">
        <f t="shared" si="0"/>
        <v>3</v>
      </c>
      <c r="I4" s="2">
        <v>1</v>
      </c>
      <c r="J4" s="6">
        <v>46306</v>
      </c>
      <c r="K4" s="6">
        <v>46308</v>
      </c>
    </row>
    <row r="5" spans="1:11" x14ac:dyDescent="0.3">
      <c r="A5">
        <v>3</v>
      </c>
      <c r="B5" s="1" t="s">
        <v>16</v>
      </c>
      <c r="C5" t="s">
        <v>11</v>
      </c>
      <c r="D5" t="s">
        <v>94</v>
      </c>
      <c r="E5" t="s">
        <v>37</v>
      </c>
      <c r="F5" t="s">
        <v>36</v>
      </c>
      <c r="G5" s="9" t="s">
        <v>101</v>
      </c>
      <c r="H5">
        <f t="shared" si="0"/>
        <v>4</v>
      </c>
      <c r="I5" s="2">
        <v>1</v>
      </c>
      <c r="J5" s="6">
        <v>46308</v>
      </c>
      <c r="K5" s="6">
        <v>46311</v>
      </c>
    </row>
    <row r="6" spans="1:11" x14ac:dyDescent="0.3">
      <c r="A6">
        <v>4</v>
      </c>
      <c r="B6" s="1" t="s">
        <v>17</v>
      </c>
      <c r="C6" t="s">
        <v>12</v>
      </c>
      <c r="D6" t="s">
        <v>36</v>
      </c>
      <c r="E6" t="s">
        <v>36</v>
      </c>
      <c r="F6" t="s">
        <v>94</v>
      </c>
      <c r="G6" s="9" t="s">
        <v>101</v>
      </c>
      <c r="H6">
        <f t="shared" si="0"/>
        <v>3</v>
      </c>
      <c r="I6" s="2">
        <v>1</v>
      </c>
      <c r="J6" s="6">
        <v>46309</v>
      </c>
      <c r="K6" s="6">
        <v>46311</v>
      </c>
    </row>
    <row r="7" spans="1:11" x14ac:dyDescent="0.3">
      <c r="A7">
        <v>5</v>
      </c>
      <c r="B7" s="1" t="s">
        <v>18</v>
      </c>
      <c r="C7" t="s">
        <v>14</v>
      </c>
      <c r="D7" t="s">
        <v>98</v>
      </c>
      <c r="E7" t="s">
        <v>36</v>
      </c>
      <c r="F7" t="s">
        <v>37</v>
      </c>
      <c r="G7" s="9" t="s">
        <v>101</v>
      </c>
      <c r="H7">
        <f t="shared" si="0"/>
        <v>2</v>
      </c>
      <c r="I7" s="2">
        <v>1</v>
      </c>
      <c r="J7" s="6">
        <v>46309</v>
      </c>
      <c r="K7" s="6">
        <v>46310</v>
      </c>
    </row>
    <row r="8" spans="1:11" x14ac:dyDescent="0.3">
      <c r="A8">
        <v>6</v>
      </c>
      <c r="B8" s="1" t="s">
        <v>19</v>
      </c>
      <c r="C8" t="s">
        <v>92</v>
      </c>
      <c r="D8" t="s">
        <v>91</v>
      </c>
      <c r="E8" t="s">
        <v>36</v>
      </c>
      <c r="F8" t="s">
        <v>35</v>
      </c>
      <c r="G8" s="9" t="s">
        <v>93</v>
      </c>
      <c r="H8">
        <f t="shared" si="0"/>
        <v>4</v>
      </c>
      <c r="I8" s="2">
        <v>1</v>
      </c>
      <c r="J8" s="6">
        <v>46311</v>
      </c>
      <c r="K8" s="6">
        <v>46314</v>
      </c>
    </row>
    <row r="9" spans="1:11" x14ac:dyDescent="0.3">
      <c r="A9">
        <v>7</v>
      </c>
      <c r="B9" s="1" t="s">
        <v>21</v>
      </c>
      <c r="C9" t="s">
        <v>75</v>
      </c>
      <c r="D9" t="s">
        <v>97</v>
      </c>
      <c r="E9" t="s">
        <v>35</v>
      </c>
      <c r="F9" t="s">
        <v>36</v>
      </c>
      <c r="G9" s="9" t="s">
        <v>93</v>
      </c>
      <c r="H9">
        <f t="shared" si="0"/>
        <v>1</v>
      </c>
      <c r="I9" s="2">
        <v>1</v>
      </c>
      <c r="J9" s="6">
        <v>46311</v>
      </c>
      <c r="K9" s="6">
        <v>46311</v>
      </c>
    </row>
    <row r="10" spans="1:11" x14ac:dyDescent="0.3">
      <c r="A10">
        <v>8</v>
      </c>
      <c r="B10" s="1" t="s">
        <v>22</v>
      </c>
      <c r="C10" t="s">
        <v>74</v>
      </c>
      <c r="D10" t="s">
        <v>96</v>
      </c>
      <c r="E10" t="s">
        <v>35</v>
      </c>
      <c r="F10" s="9" t="s">
        <v>93</v>
      </c>
      <c r="G10" s="9" t="s">
        <v>93</v>
      </c>
      <c r="H10">
        <f t="shared" si="0"/>
        <v>5</v>
      </c>
      <c r="I10" s="2">
        <v>0</v>
      </c>
      <c r="J10" s="6">
        <v>46314</v>
      </c>
      <c r="K10" s="6">
        <v>46318</v>
      </c>
    </row>
    <row r="11" spans="1:11" x14ac:dyDescent="0.3">
      <c r="A11">
        <v>9</v>
      </c>
      <c r="B11" s="1" t="s">
        <v>72</v>
      </c>
      <c r="C11" t="s">
        <v>73</v>
      </c>
      <c r="D11" t="s">
        <v>35</v>
      </c>
      <c r="E11" t="s">
        <v>35</v>
      </c>
      <c r="F11" t="s">
        <v>95</v>
      </c>
      <c r="G11" s="9" t="s">
        <v>93</v>
      </c>
      <c r="H11">
        <f t="shared" si="0"/>
        <v>8</v>
      </c>
      <c r="I11" s="2">
        <v>0.7</v>
      </c>
      <c r="J11" s="6">
        <v>46308</v>
      </c>
      <c r="K11" s="6">
        <v>46315</v>
      </c>
    </row>
    <row r="12" spans="1:11" x14ac:dyDescent="0.3">
      <c r="A12">
        <v>10</v>
      </c>
      <c r="B12" s="1" t="s">
        <v>99</v>
      </c>
      <c r="C12" t="s">
        <v>100</v>
      </c>
      <c r="D12" t="s">
        <v>96</v>
      </c>
      <c r="E12" t="s">
        <v>35</v>
      </c>
      <c r="F12" s="9" t="s">
        <v>101</v>
      </c>
      <c r="G12" s="9" t="s">
        <v>93</v>
      </c>
      <c r="H12">
        <f t="shared" si="0"/>
        <v>11</v>
      </c>
      <c r="I12" s="2">
        <v>0.5</v>
      </c>
      <c r="J12" s="6">
        <v>46308</v>
      </c>
      <c r="K12" s="6">
        <v>46318</v>
      </c>
    </row>
    <row r="13" spans="1:11" x14ac:dyDescent="0.3">
      <c r="A13" s="3"/>
      <c r="B13" s="4" t="s">
        <v>23</v>
      </c>
      <c r="C13" s="8" t="s">
        <v>24</v>
      </c>
      <c r="D13" s="3"/>
      <c r="E13" s="3"/>
      <c r="F13" s="3"/>
      <c r="G13" s="3"/>
      <c r="H13" s="3">
        <f t="shared" si="0"/>
        <v>13</v>
      </c>
      <c r="I13" s="3"/>
      <c r="J13" s="7">
        <f>MIN(J14:J20)</f>
        <v>46314</v>
      </c>
      <c r="K13" s="7">
        <f>MAX(K14:K20)</f>
        <v>46326</v>
      </c>
    </row>
    <row r="14" spans="1:11" x14ac:dyDescent="0.3">
      <c r="A14">
        <v>11</v>
      </c>
      <c r="B14" s="1" t="s">
        <v>25</v>
      </c>
      <c r="C14" t="s">
        <v>26</v>
      </c>
      <c r="D14" t="s">
        <v>36</v>
      </c>
      <c r="E14" t="s">
        <v>36</v>
      </c>
      <c r="F14" t="s">
        <v>94</v>
      </c>
      <c r="G14" s="9" t="s">
        <v>93</v>
      </c>
      <c r="H14">
        <f t="shared" si="0"/>
        <v>2</v>
      </c>
      <c r="I14" s="2">
        <v>0</v>
      </c>
      <c r="J14" s="6">
        <v>46314</v>
      </c>
      <c r="K14" s="6">
        <v>46315</v>
      </c>
    </row>
    <row r="15" spans="1:11" x14ac:dyDescent="0.3">
      <c r="A15">
        <v>12</v>
      </c>
      <c r="B15" s="1" t="s">
        <v>20</v>
      </c>
      <c r="C15" t="s">
        <v>27</v>
      </c>
      <c r="D15" t="s">
        <v>38</v>
      </c>
      <c r="E15" t="s">
        <v>37</v>
      </c>
      <c r="F15" s="9" t="s">
        <v>93</v>
      </c>
      <c r="G15" s="9" t="s">
        <v>93</v>
      </c>
      <c r="H15">
        <f t="shared" si="0"/>
        <v>10</v>
      </c>
      <c r="I15" s="2">
        <v>0</v>
      </c>
      <c r="J15" s="6">
        <v>46314</v>
      </c>
      <c r="K15" s="6">
        <v>46323</v>
      </c>
    </row>
    <row r="16" spans="1:11" x14ac:dyDescent="0.3">
      <c r="A16">
        <v>13</v>
      </c>
      <c r="B16" s="1" t="s">
        <v>30</v>
      </c>
      <c r="C16" t="s">
        <v>76</v>
      </c>
      <c r="D16" t="s">
        <v>35</v>
      </c>
      <c r="E16" t="s">
        <v>35</v>
      </c>
      <c r="F16" t="s">
        <v>91</v>
      </c>
      <c r="G16" s="9" t="s">
        <v>93</v>
      </c>
      <c r="H16">
        <f t="shared" si="0"/>
        <v>3</v>
      </c>
      <c r="I16" s="2">
        <v>0</v>
      </c>
      <c r="J16" s="6">
        <v>46316</v>
      </c>
      <c r="K16" s="6">
        <v>46318</v>
      </c>
    </row>
    <row r="17" spans="1:11" x14ac:dyDescent="0.3">
      <c r="A17">
        <v>14</v>
      </c>
      <c r="B17" s="1" t="s">
        <v>31</v>
      </c>
      <c r="C17" t="s">
        <v>28</v>
      </c>
      <c r="D17" t="s">
        <v>37</v>
      </c>
      <c r="E17" t="s">
        <v>37</v>
      </c>
      <c r="F17" t="s">
        <v>98</v>
      </c>
      <c r="G17" s="9" t="s">
        <v>93</v>
      </c>
      <c r="H17">
        <f t="shared" si="0"/>
        <v>3</v>
      </c>
      <c r="I17" s="2">
        <v>0</v>
      </c>
      <c r="J17" s="6">
        <v>46316</v>
      </c>
      <c r="K17" s="6">
        <v>46318</v>
      </c>
    </row>
    <row r="18" spans="1:11" x14ac:dyDescent="0.3">
      <c r="A18">
        <v>15</v>
      </c>
      <c r="B18" s="1" t="s">
        <v>32</v>
      </c>
      <c r="C18" t="s">
        <v>29</v>
      </c>
      <c r="D18" t="s">
        <v>36</v>
      </c>
      <c r="E18" t="s">
        <v>36</v>
      </c>
      <c r="F18" t="s">
        <v>94</v>
      </c>
      <c r="G18" s="9" t="s">
        <v>93</v>
      </c>
      <c r="H18">
        <f t="shared" si="0"/>
        <v>2</v>
      </c>
      <c r="I18" s="2">
        <v>0</v>
      </c>
      <c r="J18" s="6">
        <v>46318</v>
      </c>
      <c r="K18" s="6">
        <v>46319</v>
      </c>
    </row>
    <row r="19" spans="1:11" x14ac:dyDescent="0.3">
      <c r="A19">
        <v>16</v>
      </c>
      <c r="B19" s="1" t="s">
        <v>33</v>
      </c>
      <c r="C19" t="s">
        <v>39</v>
      </c>
      <c r="D19" t="s">
        <v>35</v>
      </c>
      <c r="E19" t="s">
        <v>35</v>
      </c>
      <c r="F19" t="s">
        <v>91</v>
      </c>
      <c r="G19" s="9" t="s">
        <v>93</v>
      </c>
      <c r="H19">
        <f t="shared" si="0"/>
        <v>3</v>
      </c>
      <c r="I19" s="2">
        <v>0</v>
      </c>
      <c r="J19" s="6">
        <v>46321</v>
      </c>
      <c r="K19" s="6">
        <v>46323</v>
      </c>
    </row>
    <row r="20" spans="1:11" x14ac:dyDescent="0.3">
      <c r="A20">
        <v>17</v>
      </c>
      <c r="B20" s="1" t="s">
        <v>34</v>
      </c>
      <c r="C20" t="s">
        <v>102</v>
      </c>
      <c r="D20" t="s">
        <v>37</v>
      </c>
      <c r="E20" t="s">
        <v>37</v>
      </c>
      <c r="F20" t="s">
        <v>98</v>
      </c>
      <c r="G20" s="9" t="s">
        <v>101</v>
      </c>
      <c r="H20">
        <f t="shared" si="0"/>
        <v>9</v>
      </c>
      <c r="I20" s="2">
        <v>0</v>
      </c>
      <c r="J20" s="6">
        <v>46318</v>
      </c>
      <c r="K20" s="6">
        <v>46326</v>
      </c>
    </row>
    <row r="21" spans="1:11" x14ac:dyDescent="0.3">
      <c r="A21" s="3"/>
      <c r="B21" s="4" t="s">
        <v>40</v>
      </c>
      <c r="C21" s="8" t="s">
        <v>43</v>
      </c>
      <c r="D21" s="3"/>
      <c r="E21" s="3"/>
      <c r="F21" s="3"/>
      <c r="G21" s="3"/>
      <c r="H21" s="3">
        <f t="shared" si="0"/>
        <v>7</v>
      </c>
      <c r="I21" s="5"/>
      <c r="J21" s="7">
        <f>MIN(J22:J24)</f>
        <v>46327</v>
      </c>
      <c r="K21" s="7">
        <f>MAX(K22:K24)</f>
        <v>46333</v>
      </c>
    </row>
    <row r="22" spans="1:11" x14ac:dyDescent="0.3">
      <c r="A22">
        <v>18</v>
      </c>
      <c r="B22" s="1" t="s">
        <v>41</v>
      </c>
      <c r="C22" t="s">
        <v>79</v>
      </c>
      <c r="D22" t="s">
        <v>37</v>
      </c>
      <c r="E22" t="s">
        <v>37</v>
      </c>
      <c r="F22" t="s">
        <v>98</v>
      </c>
      <c r="G22" s="9" t="s">
        <v>93</v>
      </c>
      <c r="H22">
        <f t="shared" si="0"/>
        <v>4</v>
      </c>
      <c r="I22" s="2">
        <v>0</v>
      </c>
      <c r="J22" s="6">
        <v>46327</v>
      </c>
      <c r="K22" s="6">
        <v>46330</v>
      </c>
    </row>
    <row r="23" spans="1:11" x14ac:dyDescent="0.3">
      <c r="A23">
        <v>19</v>
      </c>
      <c r="B23" s="1" t="s">
        <v>42</v>
      </c>
      <c r="C23" t="s">
        <v>80</v>
      </c>
      <c r="D23" t="s">
        <v>35</v>
      </c>
      <c r="E23" t="s">
        <v>35</v>
      </c>
      <c r="F23" t="s">
        <v>91</v>
      </c>
      <c r="G23" s="9" t="s">
        <v>93</v>
      </c>
      <c r="H23">
        <f t="shared" si="0"/>
        <v>2</v>
      </c>
      <c r="I23" s="2">
        <v>0</v>
      </c>
      <c r="J23" s="6">
        <v>46330</v>
      </c>
      <c r="K23" s="6">
        <v>46331</v>
      </c>
    </row>
    <row r="24" spans="1:11" x14ac:dyDescent="0.3">
      <c r="A24">
        <v>20</v>
      </c>
      <c r="B24" s="1" t="s">
        <v>81</v>
      </c>
      <c r="C24" t="s">
        <v>44</v>
      </c>
      <c r="D24" t="s">
        <v>36</v>
      </c>
      <c r="E24" t="s">
        <v>36</v>
      </c>
      <c r="F24" t="s">
        <v>94</v>
      </c>
      <c r="G24" s="9" t="s">
        <v>93</v>
      </c>
      <c r="H24">
        <f t="shared" si="0"/>
        <v>2</v>
      </c>
      <c r="I24" s="2">
        <v>0</v>
      </c>
      <c r="J24" s="6">
        <v>46332</v>
      </c>
      <c r="K24" s="6">
        <v>46333</v>
      </c>
    </row>
    <row r="25" spans="1:11" x14ac:dyDescent="0.3">
      <c r="A25" s="3"/>
      <c r="B25" s="4" t="s">
        <v>45</v>
      </c>
      <c r="C25" s="8" t="s">
        <v>46</v>
      </c>
      <c r="D25" s="3"/>
      <c r="E25" s="3"/>
      <c r="F25" s="3"/>
      <c r="G25" s="3"/>
      <c r="H25" s="3">
        <f t="shared" si="0"/>
        <v>17</v>
      </c>
      <c r="I25" s="5"/>
      <c r="J25" s="7">
        <f>MIN(J26:J28)</f>
        <v>46334</v>
      </c>
      <c r="K25" s="7">
        <f>MAX(K26:K28)</f>
        <v>46350</v>
      </c>
    </row>
    <row r="26" spans="1:11" x14ac:dyDescent="0.3">
      <c r="A26">
        <v>21</v>
      </c>
      <c r="B26" s="1" t="s">
        <v>47</v>
      </c>
      <c r="C26" t="s">
        <v>77</v>
      </c>
      <c r="D26" t="s">
        <v>38</v>
      </c>
      <c r="E26" t="s">
        <v>37</v>
      </c>
      <c r="F26" s="9" t="s">
        <v>93</v>
      </c>
      <c r="G26" s="9" t="s">
        <v>101</v>
      </c>
      <c r="H26">
        <f t="shared" si="0"/>
        <v>13</v>
      </c>
      <c r="I26" s="2">
        <v>0</v>
      </c>
      <c r="J26" s="6">
        <v>46334</v>
      </c>
      <c r="K26" s="6">
        <v>46346</v>
      </c>
    </row>
    <row r="27" spans="1:11" x14ac:dyDescent="0.3">
      <c r="A27">
        <v>22</v>
      </c>
      <c r="B27" s="1" t="s">
        <v>48</v>
      </c>
      <c r="C27" t="s">
        <v>78</v>
      </c>
      <c r="D27" t="s">
        <v>38</v>
      </c>
      <c r="E27" t="s">
        <v>35</v>
      </c>
      <c r="F27" s="9" t="s">
        <v>93</v>
      </c>
      <c r="G27" s="9" t="s">
        <v>101</v>
      </c>
      <c r="H27">
        <f t="shared" si="0"/>
        <v>13</v>
      </c>
      <c r="I27" s="2">
        <v>0</v>
      </c>
      <c r="J27" s="6">
        <v>46334</v>
      </c>
      <c r="K27" s="6">
        <v>46346</v>
      </c>
    </row>
    <row r="28" spans="1:11" x14ac:dyDescent="0.3">
      <c r="A28">
        <v>23</v>
      </c>
      <c r="B28" s="1" t="s">
        <v>49</v>
      </c>
      <c r="C28" t="s">
        <v>50</v>
      </c>
      <c r="D28" t="s">
        <v>36</v>
      </c>
      <c r="E28" t="s">
        <v>36</v>
      </c>
      <c r="F28" t="s">
        <v>94</v>
      </c>
      <c r="G28" s="9" t="s">
        <v>93</v>
      </c>
      <c r="H28">
        <f t="shared" si="0"/>
        <v>4</v>
      </c>
      <c r="I28" s="2">
        <v>0</v>
      </c>
      <c r="J28" s="6">
        <v>46347</v>
      </c>
      <c r="K28" s="6">
        <v>46350</v>
      </c>
    </row>
    <row r="29" spans="1:11" x14ac:dyDescent="0.3">
      <c r="A29" s="3"/>
      <c r="B29" s="4" t="s">
        <v>51</v>
      </c>
      <c r="C29" s="8" t="s">
        <v>52</v>
      </c>
      <c r="D29" s="3"/>
      <c r="E29" s="3"/>
      <c r="F29" s="3"/>
      <c r="G29" s="3"/>
      <c r="H29" s="3">
        <f t="shared" si="0"/>
        <v>6</v>
      </c>
      <c r="I29" s="5"/>
      <c r="J29" s="7">
        <f>MIN(J30:J34)</f>
        <v>46351</v>
      </c>
      <c r="K29" s="7">
        <f>MAX(K30:K34)</f>
        <v>46356</v>
      </c>
    </row>
    <row r="30" spans="1:11" x14ac:dyDescent="0.3">
      <c r="A30">
        <v>24</v>
      </c>
      <c r="B30" s="1" t="s">
        <v>53</v>
      </c>
      <c r="C30" t="s">
        <v>83</v>
      </c>
      <c r="D30" t="s">
        <v>36</v>
      </c>
      <c r="E30" t="s">
        <v>36</v>
      </c>
      <c r="F30" t="s">
        <v>94</v>
      </c>
      <c r="G30" s="9" t="s">
        <v>93</v>
      </c>
      <c r="H30">
        <f t="shared" si="0"/>
        <v>3</v>
      </c>
      <c r="I30" s="2">
        <v>0</v>
      </c>
      <c r="J30" s="6">
        <v>46351</v>
      </c>
      <c r="K30" s="6">
        <v>46353</v>
      </c>
    </row>
    <row r="31" spans="1:11" x14ac:dyDescent="0.3">
      <c r="A31">
        <v>25</v>
      </c>
      <c r="B31" s="1" t="s">
        <v>54</v>
      </c>
      <c r="C31" t="s">
        <v>84</v>
      </c>
      <c r="D31" t="s">
        <v>37</v>
      </c>
      <c r="E31" t="s">
        <v>37</v>
      </c>
      <c r="F31" t="s">
        <v>98</v>
      </c>
      <c r="G31" s="9" t="s">
        <v>93</v>
      </c>
      <c r="H31">
        <f t="shared" si="0"/>
        <v>3</v>
      </c>
      <c r="I31" s="2">
        <v>0</v>
      </c>
      <c r="J31" s="6">
        <v>46351</v>
      </c>
      <c r="K31" s="6">
        <v>46353</v>
      </c>
    </row>
    <row r="32" spans="1:11" x14ac:dyDescent="0.3">
      <c r="A32">
        <v>26</v>
      </c>
      <c r="B32" s="1" t="s">
        <v>82</v>
      </c>
      <c r="C32" t="s">
        <v>85</v>
      </c>
      <c r="D32" t="s">
        <v>35</v>
      </c>
      <c r="E32" t="s">
        <v>35</v>
      </c>
      <c r="F32" t="s">
        <v>91</v>
      </c>
      <c r="G32" s="9" t="s">
        <v>93</v>
      </c>
      <c r="H32">
        <f t="shared" si="0"/>
        <v>3</v>
      </c>
      <c r="I32" s="2">
        <v>0</v>
      </c>
      <c r="J32" s="6">
        <v>46353</v>
      </c>
      <c r="K32" s="6">
        <v>46355</v>
      </c>
    </row>
    <row r="33" spans="1:11" x14ac:dyDescent="0.3">
      <c r="A33">
        <v>27</v>
      </c>
      <c r="B33" s="1" t="s">
        <v>87</v>
      </c>
      <c r="C33" t="s">
        <v>86</v>
      </c>
      <c r="D33" t="s">
        <v>38</v>
      </c>
      <c r="E33" t="s">
        <v>36</v>
      </c>
      <c r="F33" s="9" t="s">
        <v>93</v>
      </c>
      <c r="G33" s="9" t="s">
        <v>93</v>
      </c>
      <c r="H33">
        <f t="shared" si="0"/>
        <v>4</v>
      </c>
      <c r="I33" s="2">
        <v>0</v>
      </c>
      <c r="J33" s="6">
        <v>46352</v>
      </c>
      <c r="K33" s="6">
        <v>46355</v>
      </c>
    </row>
    <row r="34" spans="1:11" x14ac:dyDescent="0.3">
      <c r="A34">
        <v>28</v>
      </c>
      <c r="B34" s="1" t="s">
        <v>88</v>
      </c>
      <c r="C34" t="s">
        <v>55</v>
      </c>
      <c r="D34" t="s">
        <v>37</v>
      </c>
      <c r="E34" t="s">
        <v>37</v>
      </c>
      <c r="F34" t="s">
        <v>98</v>
      </c>
      <c r="G34" s="9" t="s">
        <v>101</v>
      </c>
      <c r="H34">
        <f t="shared" si="0"/>
        <v>2</v>
      </c>
      <c r="I34" s="2">
        <v>0</v>
      </c>
      <c r="J34" s="6">
        <v>46355</v>
      </c>
      <c r="K34" s="6">
        <v>46356</v>
      </c>
    </row>
    <row r="35" spans="1:11" x14ac:dyDescent="0.3">
      <c r="A35" s="3"/>
      <c r="B35" s="4" t="s">
        <v>56</v>
      </c>
      <c r="C35" s="8" t="s">
        <v>67</v>
      </c>
      <c r="D35" s="3"/>
      <c r="E35" s="3"/>
      <c r="F35" s="3"/>
      <c r="G35" s="3"/>
      <c r="H35" s="3">
        <f t="shared" si="0"/>
        <v>34</v>
      </c>
      <c r="I35" s="5"/>
      <c r="J35" s="7">
        <f>MIN(J36:J37)</f>
        <v>46327</v>
      </c>
      <c r="K35" s="7">
        <f>MAX(K36:K37)</f>
        <v>46360</v>
      </c>
    </row>
    <row r="36" spans="1:11" x14ac:dyDescent="0.3">
      <c r="A36">
        <v>29</v>
      </c>
      <c r="B36" s="1" t="s">
        <v>57</v>
      </c>
      <c r="C36" t="s">
        <v>58</v>
      </c>
      <c r="D36" t="s">
        <v>36</v>
      </c>
      <c r="E36" t="s">
        <v>36</v>
      </c>
      <c r="F36" t="s">
        <v>94</v>
      </c>
      <c r="G36" s="9" t="s">
        <v>101</v>
      </c>
      <c r="H36">
        <f t="shared" si="0"/>
        <v>4</v>
      </c>
      <c r="I36" s="2">
        <v>0</v>
      </c>
      <c r="J36" s="6">
        <v>46357</v>
      </c>
      <c r="K36" s="6">
        <v>46360</v>
      </c>
    </row>
    <row r="37" spans="1:11" x14ac:dyDescent="0.3">
      <c r="A37">
        <v>30</v>
      </c>
      <c r="B37" s="1" t="s">
        <v>60</v>
      </c>
      <c r="C37" t="s">
        <v>59</v>
      </c>
      <c r="D37" t="s">
        <v>38</v>
      </c>
      <c r="E37" t="s">
        <v>35</v>
      </c>
      <c r="F37" t="s">
        <v>91</v>
      </c>
      <c r="G37" s="9" t="s">
        <v>101</v>
      </c>
      <c r="H37">
        <f t="shared" si="0"/>
        <v>30</v>
      </c>
      <c r="I37" s="2">
        <v>0</v>
      </c>
      <c r="J37" s="6">
        <v>46327</v>
      </c>
      <c r="K37" s="6">
        <v>46356</v>
      </c>
    </row>
    <row r="38" spans="1:11" x14ac:dyDescent="0.3">
      <c r="A38" s="3"/>
      <c r="B38" s="4" t="s">
        <v>61</v>
      </c>
      <c r="C38" s="8" t="s">
        <v>62</v>
      </c>
      <c r="D38" s="3"/>
      <c r="E38" s="3"/>
      <c r="F38" s="3"/>
      <c r="G38" s="3"/>
      <c r="H38" s="3">
        <f t="shared" si="0"/>
        <v>62</v>
      </c>
      <c r="I38" s="5"/>
      <c r="J38" s="7">
        <f>MIN(J39:J41)</f>
        <v>46357</v>
      </c>
      <c r="K38" s="7">
        <f>MAX(K39:K41)</f>
        <v>46418</v>
      </c>
    </row>
    <row r="39" spans="1:11" x14ac:dyDescent="0.3">
      <c r="A39">
        <v>31</v>
      </c>
      <c r="B39" s="1" t="s">
        <v>63</v>
      </c>
      <c r="C39" t="s">
        <v>89</v>
      </c>
      <c r="D39" t="s">
        <v>38</v>
      </c>
      <c r="E39" t="s">
        <v>36</v>
      </c>
      <c r="F39" s="9" t="s">
        <v>93</v>
      </c>
      <c r="G39" s="9" t="s">
        <v>93</v>
      </c>
      <c r="H39">
        <f t="shared" si="0"/>
        <v>20</v>
      </c>
      <c r="I39" s="2">
        <v>0</v>
      </c>
      <c r="J39" s="6">
        <v>46357</v>
      </c>
      <c r="K39" s="6">
        <v>46376</v>
      </c>
    </row>
    <row r="40" spans="1:11" x14ac:dyDescent="0.3">
      <c r="A40">
        <v>32</v>
      </c>
      <c r="B40" s="1" t="s">
        <v>64</v>
      </c>
      <c r="C40" t="s">
        <v>90</v>
      </c>
      <c r="D40" t="s">
        <v>38</v>
      </c>
      <c r="E40" t="s">
        <v>37</v>
      </c>
      <c r="F40" s="9" t="s">
        <v>101</v>
      </c>
      <c r="G40" s="9" t="s">
        <v>93</v>
      </c>
      <c r="H40">
        <f t="shared" si="0"/>
        <v>38</v>
      </c>
      <c r="I40" s="2">
        <v>0</v>
      </c>
      <c r="J40" s="6">
        <v>46357</v>
      </c>
      <c r="K40" s="6">
        <v>46394</v>
      </c>
    </row>
    <row r="41" spans="1:11" x14ac:dyDescent="0.3">
      <c r="A41">
        <v>33</v>
      </c>
      <c r="B41" s="1" t="s">
        <v>65</v>
      </c>
      <c r="C41" t="s">
        <v>66</v>
      </c>
      <c r="D41" t="s">
        <v>38</v>
      </c>
      <c r="E41" t="s">
        <v>35</v>
      </c>
      <c r="F41" s="9" t="s">
        <v>93</v>
      </c>
      <c r="G41" s="9" t="s">
        <v>101</v>
      </c>
      <c r="H41">
        <f t="shared" si="0"/>
        <v>25</v>
      </c>
      <c r="I41" s="2">
        <v>0</v>
      </c>
      <c r="J41" s="6">
        <v>46394</v>
      </c>
      <c r="K41" s="6">
        <v>46418</v>
      </c>
    </row>
  </sheetData>
  <conditionalFormatting sqref="I1:I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{11D564A9-D3F4-42AF-A8E1-7330477FAF6D}</x14:id>
        </ext>
      </extLst>
    </cfRule>
  </conditionalFormatting>
  <conditionalFormatting sqref="I3:I1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{52E1B1F2-AEB0-40E3-A129-CB9F2701786B}</x14:id>
        </ext>
      </extLst>
    </cfRule>
  </conditionalFormatting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564A9-D3F4-42AF-A8E1-7330477FA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52E1B1F2-AEB0-40E3-A129-CB9F27017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Zuzanna Zalewska</dc:creator>
  <cp:lastModifiedBy>Zuzanna Zalewska</cp:lastModifiedBy>
  <dcterms:created xsi:type="dcterms:W3CDTF">2026-10-15T21:42:58Z</dcterms:created>
  <dcterms:modified xsi:type="dcterms:W3CDTF">2026-10-19T20:53:35Z</dcterms:modified>
</cp:coreProperties>
</file>